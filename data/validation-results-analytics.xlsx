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dbe52f3ad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Validation Data" sheetId="1" r:id="R326b097c84654e5a"/>
    <x:sheet xmlns:r="http://schemas.openxmlformats.org/officeDocument/2006/relationships" name="Analytics Dashboard" sheetId="2" r:id="Rc78ff847ec62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374151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384d18ace4952" /><Relationship Type="http://schemas.openxmlformats.org/officeDocument/2006/relationships/theme" Target="/xl/theme/theme1.xml" Id="R7a29f25c05c44d3d" /><Relationship Type="http://schemas.openxmlformats.org/officeDocument/2006/relationships/sharedStrings" Target="/xl/sharedStrings.xml" Id="R3e90352ef9414066" /><Relationship Type="http://schemas.openxmlformats.org/officeDocument/2006/relationships/worksheet" Target="/xl/worksheets/sheet1.xml" Id="R326b097c84654e5a" /><Relationship Type="http://schemas.openxmlformats.org/officeDocument/2006/relationships/worksheet" Target="/xl/worksheets/sheet2.xml" Id="Rc78ff847ec624c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28a03fdfd34e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Confusion Points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'Analytics Dashboard'!$D$4:$D$10</c:f>
              <c:strCache>
                <c:ptCount val="0"/>
              </c:strCache>
            </c:strRef>
          </c:cat>
          <c:val>
            <c:numRef>
              <c:f>'Analytics Dashboard'!$E$4:$E$10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8a03fdfd34e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ionResultsTable" displayName="ValidationResultsTable" ref="A1:L13" headerRowCount="1">
  <x:tableColumns count="12">
    <x:tableColumn id="1" name="Test_User_ID"/>
    <x:tableColumn id="2" name="User_Role"/>
    <x:tableColumn id="3" name="Prototype_Version"/>
    <x:tableColumn id="4" name="Main_Task"/>
    <x:tableColumn id="5" name="Task_Completed"/>
    <x:tableColumn id="6" name="Time_Seconds"/>
    <x:tableColumn id="7" name="Confusion_Point"/>
    <x:tableColumn id="8" name="Feature_Most_Useful"/>
    <x:tableColumn id="9" name="Feedback_Score_1_5"/>
    <x:tableColumn id="10" name="Interest_Level_1_5"/>
    <x:tableColumn id="11" name="Comment"/>
    <x:tableColumn id="12" name="Requirement_Affec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9622414e2442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b7169a08a4f3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4" hidden="0" customWidth="1"/>
    <x:col min="7" max="7" width="22" hidden="0" customWidth="1"/>
    <x:col min="8" max="8" width="24" hidden="0" customWidth="1"/>
    <x:col min="9" max="9" width="18" hidden="0" customWidth="1"/>
    <x:col min="10" max="10" width="18" hidden="0" customWidth="1"/>
    <x:col min="11" max="11" width="45" hidden="0" customWidth="1"/>
    <x:col min="12" max="12" width="28" hidden="0" customWidth="1"/>
  </x:cols>
  <x:sheetData>
    <x:row r="1" ht="35" customHeight="1">
      <x:c r="A1" s="6" t="str">
        <x:v>Test_User_ID</x:v>
      </x:c>
      <x:c r="B1" s="6" t="str">
        <x:v>User_Role</x:v>
      </x:c>
      <x:c r="C1" s="6" t="str">
        <x:v>Prototype_Version</x:v>
      </x:c>
      <x:c r="D1" s="6" t="str">
        <x:v>Main_Task</x:v>
      </x:c>
      <x:c r="E1" s="6" t="str">
        <x:v>Task_Completed</x:v>
      </x:c>
      <x:c r="F1" s="6" t="str">
        <x:v>Time_Seconds</x:v>
      </x:c>
      <x:c r="G1" s="6" t="str">
        <x:v>Confusion_Point</x:v>
      </x:c>
      <x:c r="H1" s="6" t="str">
        <x:v>Feature_Most_Useful</x:v>
      </x:c>
      <x:c r="I1" s="6" t="str">
        <x:v>Feedback_Score_1_5</x:v>
      </x:c>
      <x:c r="J1" s="6" t="str">
        <x:v>Interest_Level_1_5</x:v>
      </x:c>
      <x:c r="K1" s="6" t="str">
        <x:v>Comment</x:v>
      </x:c>
      <x:c r="L1" s="6" t="str">
        <x:v>Requirement_Affected</x:v>
      </x:c>
    </x:row>
    <x:row r="2">
      <x:c r="A2" s="12" t="str">
        <x:v>TU-01</x:v>
      </x:c>
      <x:c r="B2" s="12" t="str">
        <x:v>Student</x:v>
      </x:c>
      <x:c r="C2" s="12" t="str">
        <x:v>v0.1</x:v>
      </x:c>
      <x:c r="D2" s="12" t="str">
        <x:v>Report a lost item</x:v>
      </x:c>
      <x:c r="E2" s="12" t="str">
        <x:v>Yes</x:v>
      </x:c>
      <x:c r="F2" s="12" t="n">
        <x:v>118</x:v>
      </x:c>
      <x:c r="G2" s="12" t="str">
        <x:v>No confusion</x:v>
      </x:c>
      <x:c r="H2" s="12" t="str">
        <x:v>Lost item form</x:v>
      </x:c>
      <x:c r="I2" s="12" t="n">
        <x:v>5</x:v>
      </x:c>
      <x:c r="J2" s="12" t="n">
        <x:v>5</x:v>
      </x:c>
      <x:c r="K2" s="12" t="str">
        <x:v>The form is clear and quick to complete.</x:v>
      </x:c>
      <x:c r="L2" s="12" t="str">
        <x:v>FR-03, FR-10, FR-11</x:v>
      </x:c>
    </x:row>
    <x:row r="3">
      <x:c r="A3" s="12" t="str">
        <x:v>TU-02</x:v>
      </x:c>
      <x:c r="B3" s="12" t="str">
        <x:v>Student</x:v>
      </x:c>
      <x:c r="C3" s="12" t="str">
        <x:v>v0.1</x:v>
      </x:c>
      <x:c r="D3" s="12" t="str">
        <x:v>Search for a found item</x:v>
      </x:c>
      <x:c r="E3" s="12" t="str">
        <x:v>Yes</x:v>
      </x:c>
      <x:c r="F3" s="12" t="n">
        <x:v>95</x:v>
      </x:c>
      <x:c r="G3" s="12" t="str">
        <x:v>Search/filter</x:v>
      </x:c>
      <x:c r="H3" s="12" t="str">
        <x:v>Search by category</x:v>
      </x:c>
      <x:c r="I3" s="12" t="n">
        <x:v>4</x:v>
      </x:c>
      <x:c r="J3" s="12" t="n">
        <x:v>4</x:v>
      </x:c>
      <x:c r="K3" s="12" t="str">
        <x:v>Search works, but category labels should be clearer.</x:v>
      </x:c>
      <x:c r="L3" s="12" t="str">
        <x:v>FR-06, FR-07</x:v>
      </x:c>
    </x:row>
    <x:row r="4">
      <x:c r="A4" s="12" t="str">
        <x:v>TU-03</x:v>
      </x:c>
      <x:c r="B4" s="12" t="str">
        <x:v>Student</x:v>
      </x:c>
      <x:c r="C4" s="12" t="str">
        <x:v>v0.1</x:v>
      </x:c>
      <x:c r="D4" s="12" t="str">
        <x:v>Check claim status</x:v>
      </x:c>
      <x:c r="E4" s="12" t="str">
        <x:v>No</x:v>
      </x:c>
      <x:c r="F4" s="12" t="n">
        <x:v>160</x:v>
      </x:c>
      <x:c r="G4" s="12" t="str">
        <x:v>Status tracking</x:v>
      </x:c>
      <x:c r="H4" s="12" t="str">
        <x:v>Status page</x:v>
      </x:c>
      <x:c r="I4" s="12" t="n">
        <x:v>3</x:v>
      </x:c>
      <x:c r="J4" s="12" t="n">
        <x:v>4</x:v>
      </x:c>
      <x:c r="K4" s="12" t="str">
        <x:v>I could not easily see whether my claim was approved.</x:v>
      </x:c>
      <x:c r="L4" s="12" t="str">
        <x:v>FR-08</x:v>
      </x:c>
    </x:row>
    <x:row r="5">
      <x:c r="A5" s="12" t="str">
        <x:v>TU-04</x:v>
      </x:c>
      <x:c r="B5" s="12" t="str">
        <x:v>Student</x:v>
      </x:c>
      <x:c r="C5" s="12" t="str">
        <x:v>v0.1</x:v>
      </x:c>
      <x:c r="D5" s="12" t="str">
        <x:v>Report a found item</x:v>
      </x:c>
      <x:c r="E5" s="12" t="str">
        <x:v>Yes</x:v>
      </x:c>
      <x:c r="F5" s="12" t="n">
        <x:v>122</x:v>
      </x:c>
      <x:c r="G5" s="12" t="str">
        <x:v>Form fields</x:v>
      </x:c>
      <x:c r="H5" s="12" t="str">
        <x:v>Photo upload / item details</x:v>
      </x:c>
      <x:c r="I5" s="12" t="n">
        <x:v>4</x:v>
      </x:c>
      <x:c r="J5" s="12" t="n">
        <x:v>5</x:v>
      </x:c>
      <x:c r="K5" s="12" t="str">
        <x:v>Need clearer explanation for location field.</x:v>
      </x:c>
      <x:c r="L5" s="12" t="str">
        <x:v>FR-03, FR-10</x:v>
      </x:c>
    </x:row>
    <x:row r="6">
      <x:c r="A6" s="12" t="str">
        <x:v>TU-05</x:v>
      </x:c>
      <x:c r="B6" s="12" t="str">
        <x:v>Student</x:v>
      </x:c>
      <x:c r="C6" s="12" t="str">
        <x:v>v0.1</x:v>
      </x:c>
      <x:c r="D6" s="12" t="str">
        <x:v>Search for a found item</x:v>
      </x:c>
      <x:c r="E6" s="12" t="str">
        <x:v>Yes</x:v>
      </x:c>
      <x:c r="F6" s="12" t="n">
        <x:v>88</x:v>
      </x:c>
      <x:c r="G6" s="12" t="str">
        <x:v>No confusion</x:v>
      </x:c>
      <x:c r="H6" s="12" t="str">
        <x:v>Search by keyword</x:v>
      </x:c>
      <x:c r="I6" s="12" t="n">
        <x:v>5</x:v>
      </x:c>
      <x:c r="J6" s="12" t="n">
        <x:v>5</x:v>
      </x:c>
      <x:c r="K6" s="12" t="str">
        <x:v>Useful because I do not need to ask many chat groups.</x:v>
      </x:c>
      <x:c r="L6" s="12" t="str">
        <x:v>FR-06</x:v>
      </x:c>
    </x:row>
    <x:row r="7">
      <x:c r="A7" s="12" t="str">
        <x:v>TU-06</x:v>
      </x:c>
      <x:c r="B7" s="12" t="str">
        <x:v>Admin/Staff</x:v>
      </x:c>
      <x:c r="C7" s="12" t="str">
        <x:v>v0.1</x:v>
      </x:c>
      <x:c r="D7" s="12" t="str">
        <x:v>Update item status</x:v>
      </x:c>
      <x:c r="E7" s="12" t="str">
        <x:v>Yes</x:v>
      </x:c>
      <x:c r="F7" s="12" t="n">
        <x:v>140</x:v>
      </x:c>
      <x:c r="G7" s="12" t="str">
        <x:v>Admin dashboard</x:v>
      </x:c>
      <x:c r="H7" s="12" t="str">
        <x:v>Status update button</x:v>
      </x:c>
      <x:c r="I7" s="12" t="n">
        <x:v>4</x:v>
      </x:c>
      <x:c r="J7" s="12" t="n">
        <x:v>4</x:v>
      </x:c>
      <x:c r="K7" s="12" t="str">
        <x:v>Admin screen is useful but needs a clearer filter for pending items.</x:v>
      </x:c>
      <x:c r="L7" s="12" t="str">
        <x:v>FR-09, FR-08</x:v>
      </x:c>
    </x:row>
    <x:row r="8">
      <x:c r="A8" s="12" t="str">
        <x:v>TU-07</x:v>
      </x:c>
      <x:c r="B8" s="12" t="str">
        <x:v>Student</x:v>
      </x:c>
      <x:c r="C8" s="12" t="str">
        <x:v>v0.1</x:v>
      </x:c>
      <x:c r="D8" s="12" t="str">
        <x:v>Open item detail and claim</x:v>
      </x:c>
      <x:c r="E8" s="12" t="str">
        <x:v>No</x:v>
      </x:c>
      <x:c r="F8" s="12" t="n">
        <x:v>175</x:v>
      </x:c>
      <x:c r="G8" s="12" t="str">
        <x:v>Detail view</x:v>
      </x:c>
      <x:c r="H8" s="12" t="str">
        <x:v>Item detail page</x:v>
      </x:c>
      <x:c r="I8" s="12" t="n">
        <x:v>3</x:v>
      </x:c>
      <x:c r="J8" s="12" t="n">
        <x:v>3</x:v>
      </x:c>
      <x:c r="K8" s="12" t="str">
        <x:v>Claim process is not obvious from the detail page.</x:v>
      </x:c>
      <x:c r="L8" s="12" t="str">
        <x:v>FR-07, FR-02</x:v>
      </x:c>
    </x:row>
    <x:row r="9">
      <x:c r="A9" s="12" t="str">
        <x:v>TU-08</x:v>
      </x:c>
      <x:c r="B9" s="12" t="str">
        <x:v>Student</x:v>
      </x:c>
      <x:c r="C9" s="12" t="str">
        <x:v>v0.1</x:v>
      </x:c>
      <x:c r="D9" s="12" t="str">
        <x:v>Report a lost item</x:v>
      </x:c>
      <x:c r="E9" s="12" t="str">
        <x:v>Yes</x:v>
      </x:c>
      <x:c r="F9" s="12" t="n">
        <x:v>110</x:v>
      </x:c>
      <x:c r="G9" s="12" t="str">
        <x:v>No confusion</x:v>
      </x:c>
      <x:c r="H9" s="12" t="str">
        <x:v>Confirmation message</x:v>
      </x:c>
      <x:c r="I9" s="12" t="n">
        <x:v>5</x:v>
      </x:c>
      <x:c r="J9" s="12" t="n">
        <x:v>4</x:v>
      </x:c>
      <x:c r="K9" s="12" t="str">
        <x:v>I like the confirmation message after submission.</x:v>
      </x:c>
      <x:c r="L9" s="12" t="str">
        <x:v>FR-11</x:v>
      </x:c>
    </x:row>
    <x:row r="10">
      <x:c r="A10" s="12" t="str">
        <x:v>TU-09</x:v>
      </x:c>
      <x:c r="B10" s="12" t="str">
        <x:v>Student</x:v>
      </x:c>
      <x:c r="C10" s="12" t="str">
        <x:v>v0.1</x:v>
      </x:c>
      <x:c r="D10" s="12" t="str">
        <x:v>Search and filter by location</x:v>
      </x:c>
      <x:c r="E10" s="12" t="str">
        <x:v>Yes</x:v>
      </x:c>
      <x:c r="F10" s="12" t="n">
        <x:v>102</x:v>
      </x:c>
      <x:c r="G10" s="12" t="str">
        <x:v>Search/filter</x:v>
      </x:c>
      <x:c r="H10" s="12" t="str">
        <x:v>Location filter</x:v>
      </x:c>
      <x:c r="I10" s="12" t="n">
        <x:v>4</x:v>
      </x:c>
      <x:c r="J10" s="12" t="n">
        <x:v>4</x:v>
      </x:c>
      <x:c r="K10" s="12" t="str">
        <x:v>Location filter helps but should include building names.</x:v>
      </x:c>
      <x:c r="L10" s="12" t="str">
        <x:v>FR-06</x:v>
      </x:c>
    </x:row>
    <x:row r="11">
      <x:c r="A11" s="12" t="str">
        <x:v>TU-10</x:v>
      </x:c>
      <x:c r="B11" s="12" t="str">
        <x:v>Admin/Staff</x:v>
      </x:c>
      <x:c r="C11" s="12" t="str">
        <x:v>v0.1</x:v>
      </x:c>
      <x:c r="D11" s="12" t="str">
        <x:v>Review pending reports</x:v>
      </x:c>
      <x:c r="E11" s="12" t="str">
        <x:v>Yes</x:v>
      </x:c>
      <x:c r="F11" s="12" t="n">
        <x:v>150</x:v>
      </x:c>
      <x:c r="G11" s="12" t="str">
        <x:v>Dashboard summary</x:v>
      </x:c>
      <x:c r="H11" s="12" t="str">
        <x:v>Pending report summary</x:v>
      </x:c>
      <x:c r="I11" s="12" t="n">
        <x:v>4</x:v>
      </x:c>
      <x:c r="J11" s="12" t="n">
        <x:v>4</x:v>
      </x:c>
      <x:c r="K11" s="12" t="str">
        <x:v>Dashboard is helpful for prioritizing reports.</x:v>
      </x:c>
      <x:c r="L11" s="12" t="str">
        <x:v>FR-12, FR-09</x:v>
      </x:c>
    </x:row>
    <x:row r="12">
      <x:c r="A12" s="12" t="str">
        <x:v>TU-11</x:v>
      </x:c>
      <x:c r="B12" s="12" t="str">
        <x:v>Student</x:v>
      </x:c>
      <x:c r="C12" s="12" t="str">
        <x:v>v0.1</x:v>
      </x:c>
      <x:c r="D12" s="12" t="str">
        <x:v>Submit incomplete form</x:v>
      </x:c>
      <x:c r="E12" s="12" t="str">
        <x:v>Yes</x:v>
      </x:c>
      <x:c r="F12" s="12" t="n">
        <x:v>75</x:v>
      </x:c>
      <x:c r="G12" s="12" t="str">
        <x:v>No confusion</x:v>
      </x:c>
      <x:c r="H12" s="12" t="str">
        <x:v>Validation message</x:v>
      </x:c>
      <x:c r="I12" s="12" t="n">
        <x:v>5</x:v>
      </x:c>
      <x:c r="J12" s="12" t="n">
        <x:v>5</x:v>
      </x:c>
      <x:c r="K12" s="12" t="str">
        <x:v>The required-field warning is easy to understand.</x:v>
      </x:c>
      <x:c r="L12" s="12" t="str">
        <x:v>FR-10</x:v>
      </x:c>
    </x:row>
    <x:row r="13">
      <x:c r="A13" s="12" t="str">
        <x:v>TU-12</x:v>
      </x:c>
      <x:c r="B13" s="12" t="str">
        <x:v>Student</x:v>
      </x:c>
      <x:c r="C13" s="12" t="str">
        <x:v>v0.1</x:v>
      </x:c>
      <x:c r="D13" s="12" t="str">
        <x:v>Check found item detail</x:v>
      </x:c>
      <x:c r="E13" s="12" t="str">
        <x:v>Yes</x:v>
      </x:c>
      <x:c r="F13" s="12" t="n">
        <x:v>96</x:v>
      </x:c>
      <x:c r="G13" s="12" t="str">
        <x:v>Privacy note</x:v>
      </x:c>
      <x:c r="H13" s="12" t="str">
        <x:v>Item detail page</x:v>
      </x:c>
      <x:c r="I13" s="12" t="n">
        <x:v>4</x:v>
      </x:c>
      <x:c r="J13" s="12" t="n">
        <x:v>4</x:v>
      </x:c>
      <x:c r="K13" s="12" t="str">
        <x:v>The system should not show student phone numbers publicly.</x:v>
      </x:c>
      <x:c r="L13" s="12" t="str">
        <x:v>FR-15, FR-07</x:v>
      </x:c>
    </x:row>
  </x:sheetData>
  <x:pageMargins left="0.7" right="0.7" top="0.75" bottom="0.75" header="0.3" footer="0.3"/>
  <x:tableParts count="1">
    <x:tablePart xmlns:r="http://schemas.openxmlformats.org/officeDocument/2006/relationships" r:id="R959622414e2442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3" max="3" width="24" hidden="0" customWidth="1"/>
  </x:cols>
  <x:sheetData>
    <x:row r="1" ht="28" customHeight="1">
      <x:c r="A1" s="17" t="str">
        <x:v>Lab 08 Customer Validation Analytics Dashboard</x:v>
      </x:c>
      <x:c r="B1" t="str"/>
      <x:c r="C1" t="str"/>
      <x:c r="D1" t="str"/>
      <x:c r="E1" t="str"/>
      <x:c r="F1" t="str"/>
    </x:row>
    <x:row r="3">
      <x:c r="A3" s="34" t="str">
        <x:v>Metric</x:v>
      </x:c>
      <x:c r="B3" s="34" t="str">
        <x:v>Formula / Value</x:v>
      </x:c>
      <x:c r="D3" s="28" t="str">
        <x:v>Confusion Category</x:v>
      </x:c>
      <x:c r="E3" s="28" t="str">
        <x:v>Count</x:v>
      </x:c>
      <x:c r="F3" s="28" t="str">
        <x:v>Interpretation</x:v>
      </x:c>
    </x:row>
    <x:row r="4">
      <x:c r="A4" s="35" t="str">
        <x:v>Total test users</x:v>
      </x:c>
      <x:c r="B4" s="12" t="n">
        <x:f>COUNTA('Raw Validation Data'!A2:A101)</x:f>
        <x:v>12</x:v>
      </x:c>
      <x:c r="D4" s="12" t="str">
        <x:v>No confusion</x:v>
      </x:c>
      <x:c r="E4" s="12" t="n">
        <x:f>COUNTIF('Raw Validation Data'!G2:G101,D4)</x:f>
        <x:v>4</x:v>
      </x:c>
      <x:c r="F4" s="12" t="str">
        <x:v>The workflow was easy to follow.</x:v>
      </x:c>
    </x:row>
    <x:row r="5">
      <x:c r="A5" s="35" t="str">
        <x:v>Completed tasks</x:v>
      </x:c>
      <x:c r="B5" s="12" t="n">
        <x:f>COUNTIF('Raw Validation Data'!E2:E101,"Yes")</x:f>
        <x:v>10</x:v>
      </x:c>
      <x:c r="D5" s="12" t="str">
        <x:v>Search/filter</x:v>
      </x:c>
      <x:c r="E5" s="12" t="n">
        <x:f>COUNTIF('Raw Validation Data'!G2:G101,D5)</x:f>
        <x:v>2</x:v>
      </x:c>
      <x:c r="F5" s="12" t="str">
        <x:v>Search/filter needs review.</x:v>
      </x:c>
    </x:row>
    <x:row r="6">
      <x:c r="A6" s="35" t="str">
        <x:v>Task success rate</x:v>
      </x:c>
      <x:c r="B6" s="36" t="n">
        <x:f>IF(B4=0,0,B5/B4)</x:f>
        <x:v>0.8333333333333334</x:v>
      </x:c>
      <x:c r="D6" s="12" t="str">
        <x:v>Status tracking</x:v>
      </x:c>
      <x:c r="E6" s="12" t="n">
        <x:f>COUNTIF('Raw Validation Data'!G2:G101,D6)</x:f>
        <x:v>1</x:v>
      </x:c>
      <x:c r="F6" s="12" t="str">
        <x:v>Status visibility may need improvement.</x:v>
      </x:c>
    </x:row>
    <x:row r="7">
      <x:c r="A7" s="35" t="str">
        <x:v>Average feedback score</x:v>
      </x:c>
      <x:c r="B7" s="37" t="n">
        <x:f>AVERAGE('Raw Validation Data'!I2:I101)</x:f>
        <x:v>4.166666666666667</x:v>
      </x:c>
      <x:c r="D7" s="12" t="str">
        <x:v>Form fields</x:v>
      </x:c>
      <x:c r="E7" s="12" t="n">
        <x:f>COUNTIF('Raw Validation Data'!G2:G101,D7)</x:f>
        <x:v>1</x:v>
      </x:c>
      <x:c r="F7" s="12" t="str">
        <x:v>Input form labels may need revision.</x:v>
      </x:c>
    </x:row>
    <x:row r="8">
      <x:c r="A8" s="35" t="str">
        <x:v>Average interest level</x:v>
      </x:c>
      <x:c r="B8" s="37" t="n">
        <x:f>AVERAGE('Raw Validation Data'!J2:J101)</x:f>
        <x:v>4.25</x:v>
      </x:c>
      <x:c r="D8" s="12" t="str">
        <x:v>Detail view</x:v>
      </x:c>
      <x:c r="E8" s="12" t="n">
        <x:f>COUNTIF('Raw Validation Data'!G2:G101,D8)</x:f>
        <x:v>1</x:v>
      </x:c>
      <x:c r="F8" s="12" t="str">
        <x:v>Detail screen needs clearer action.</x:v>
      </x:c>
    </x:row>
    <x:row r="9">
      <x:c r="A9" s="35" t="str">
        <x:v>Users with confusion points</x:v>
      </x:c>
      <x:c r="B9" s="12" t="n">
        <x:f>COUNTIFS('Raw Validation Data'!A2:A101,"&lt;&gt;",'Raw Validation Data'!G2:G101,"&lt;&gt;No confusion")</x:f>
        <x:v>8</x:v>
      </x:c>
      <x:c r="D9" s="12" t="str">
        <x:v>Admin dashboard</x:v>
      </x:c>
      <x:c r="E9" s="12" t="n">
        <x:f>COUNTIF('Raw Validation Data'!G2:G101,D9)</x:f>
        <x:v>1</x:v>
      </x:c>
      <x:c r="F9" s="12" t="str">
        <x:v>Admin-side controls need refinement.</x:v>
      </x:c>
    </x:row>
    <x:row r="10">
      <x:c r="A10" s="35" t="str">
        <x:v>Evidence-based decision</x:v>
      </x:c>
      <x:c r="B10" s="12" t="str">
        <x:f>IF(B6&gt;=0.75,"Validated / Continue","Partially validated / Revise")</x:f>
        <x:v>Validated / Continue</x:v>
      </x:c>
      <x:c r="D10" s="12" t="str">
        <x:v>Privacy note</x:v>
      </x:c>
      <x:c r="E10" s="12" t="n">
        <x:f>COUNTIF('Raw Validation Data'!G2:G101,D10)</x:f>
        <x:v>1</x:v>
      </x:c>
      <x:c r="F10" s="12" t="str">
        <x:v>Privacy/data display must be improved.</x:v>
      </x:c>
    </x:row>
    <x:row r="13">
      <x:c r="A13" s="44" t="str">
        <x:v>Team Interpretation Checklist</x:v>
      </x:c>
      <x:c r="B13" t="str"/>
      <x:c r="C13" t="str"/>
      <x:c r="D13" t="str"/>
      <x:c r="E13" t="str"/>
      <x:c r="F13" t="str"/>
    </x:row>
    <x:row r="14">
      <x:c r="A14" s="48" t="str">
        <x:v>Question</x:v>
      </x:c>
      <x:c r="B14" s="48" t="str">
        <x:v>Team Answer / Evidence</x:v>
      </x:c>
      <x:c r="C14" s="48" t="str"/>
      <x:c r="D14" s="48" t="str"/>
      <x:c r="E14" s="48" t="str"/>
      <x:c r="F14" s="48" t="str"/>
    </x:row>
    <x:row r="15">
      <x:c r="A15" s="12" t="str">
        <x:v>Which main task had the lowest completion?</x:v>
      </x:c>
      <x:c r="B15" s="12" t="str"/>
      <x:c r="C15" s="12" t="str"/>
      <x:c r="D15" s="12" t="str"/>
      <x:c r="E15" s="12" t="str"/>
      <x:c r="F15" s="12" t="str"/>
    </x:row>
    <x:row r="16">
      <x:c r="A16" s="12" t="str">
        <x:v>Which screen or feature confused users most?</x:v>
      </x:c>
      <x:c r="B16" s="12" t="str"/>
      <x:c r="C16" s="12" t="str"/>
      <x:c r="D16" s="12" t="str"/>
      <x:c r="E16" s="12" t="str"/>
      <x:c r="F16" s="12" t="str"/>
    </x:row>
    <x:row r="17">
      <x:c r="A17" s="12" t="str">
        <x:v>Which requirement needs improvement before implementation?</x:v>
      </x:c>
      <x:c r="B17" s="12" t="str"/>
      <x:c r="C17" s="12" t="str"/>
      <x:c r="D17" s="12" t="str"/>
      <x:c r="E17" s="12" t="str"/>
      <x:c r="F17" s="12" t="str"/>
    </x:row>
    <x:row r="18">
      <x:c r="A18" s="12" t="str">
        <x:v>Which MVP feature should be kept as must-have?</x:v>
      </x:c>
      <x:c r="B18" s="12" t="str"/>
      <x:c r="C18" s="12" t="str"/>
      <x:c r="D18" s="12" t="str"/>
      <x:c r="E18" s="12" t="str"/>
      <x:c r="F18" s="12" t="str"/>
    </x:row>
    <x:row r="19">
      <x:c r="A19" s="12" t="str">
        <x:v>Decision: continue, revise, or pivot? Explain.</x:v>
      </x:c>
      <x:c r="B19" s="12" t="str"/>
      <x:c r="C19" s="12" t="str"/>
      <x:c r="D19" s="12" t="str"/>
      <x:c r="E19" s="12" t="str"/>
      <x:c r="F19" s="12" t="str"/>
    </x:row>
  </x:sheetData>
  <x:mergeCells>
    <x:mergeCell ref="A1:F1"/>
    <x:mergeCell ref="A13:F13"/>
  </x:mergeCells>
  <x:pageMargins left="0.7" right="0.7" top="0.75" bottom="0.75" header="0.3" footer="0.3"/>
  <x:drawing xmlns:r="http://schemas.openxmlformats.org/officeDocument/2006/relationships" r:id="R9f6b7169a08a4f32"/>
</x:worksheet>
</file>